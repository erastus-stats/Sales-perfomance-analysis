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https://d.docs.live.net/e10530963573bf41/Desktop/"/>
    </mc:Choice>
  </mc:AlternateContent>
  <bookViews>
    <workbookView xWindow="0" yWindow="0" windowWidth="15530" windowHeight="6930" activeTab="3"/>
    <workbookView xWindow="0" yWindow="0" windowWidth="19200" windowHeight="6930" activeTab="3"/>
  </bookViews>
  <sheets>
    <sheet name="Sheet2" sheetId="2" r:id="rId1"/>
    <sheet name="Sheet3" sheetId="3" r:id="rId2"/>
    <sheet name="Sheet4" sheetId="4" r:id="rId3"/>
    <sheet name="Dashboard" sheetId="5" r:id="rId4"/>
    <sheet name="Sheet1" sheetId="1" r:id="rId5"/>
  </sheets>
  <definedNames>
    <definedName name="Retail_Sales_Portifolio">Sheet1!$1:$1048576</definedName>
    <definedName name="Sales_Data">Sheet1!$A$1</definedName>
    <definedName name="Slicer_Product">#N/A</definedName>
    <definedName name="Slicer_Region">#N/A</definedName>
  </definedNames>
  <calcPr calcId="162913"/>
  <pivotCaches>
    <pivotCache cacheId="0" r:id="rId6"/>
  </pivotCaches>
  <fileRecoveryPr repairLoad="1"/>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3" i="1" l="1"/>
  <c r="J4" i="1"/>
  <c r="J5" i="1"/>
  <c r="J6" i="1"/>
  <c r="J7" i="1"/>
  <c r="J8" i="1"/>
  <c r="J9" i="1"/>
  <c r="J10" i="1"/>
  <c r="J11" i="1"/>
  <c r="J12" i="1"/>
  <c r="J13" i="1"/>
  <c r="J14" i="1"/>
  <c r="J15" i="1"/>
  <c r="J16" i="1"/>
  <c r="J17" i="1"/>
  <c r="J18" i="1"/>
  <c r="J19" i="1"/>
  <c r="J20" i="1"/>
  <c r="J21" i="1"/>
  <c r="J2" i="1"/>
  <c r="I3" i="1"/>
  <c r="I4" i="1"/>
  <c r="K4" i="1" s="1"/>
  <c r="I5" i="1"/>
  <c r="I6" i="1"/>
  <c r="I7" i="1"/>
  <c r="I8" i="1"/>
  <c r="I9" i="1"/>
  <c r="I10" i="1"/>
  <c r="I11" i="1"/>
  <c r="I12" i="1"/>
  <c r="K12" i="1" s="1"/>
  <c r="I13" i="1"/>
  <c r="I14" i="1"/>
  <c r="I15" i="1"/>
  <c r="I16" i="1"/>
  <c r="I17" i="1"/>
  <c r="I18" i="1"/>
  <c r="I19" i="1"/>
  <c r="I20" i="1"/>
  <c r="K20" i="1" s="1"/>
  <c r="I21" i="1"/>
  <c r="I2" i="1"/>
  <c r="K19" i="1" l="1"/>
  <c r="K3" i="1"/>
  <c r="K11" i="1"/>
  <c r="K10" i="1"/>
  <c r="K18" i="1"/>
  <c r="K17" i="1"/>
  <c r="K16" i="1"/>
  <c r="K8" i="1"/>
  <c r="K9" i="1"/>
  <c r="K15" i="1"/>
  <c r="K7" i="1"/>
  <c r="K2" i="1"/>
  <c r="K14" i="1"/>
  <c r="K6" i="1"/>
  <c r="K21" i="1"/>
  <c r="K13" i="1"/>
  <c r="K5" i="1"/>
</calcChain>
</file>

<file path=xl/sharedStrings.xml><?xml version="1.0" encoding="utf-8"?>
<sst xmlns="http://schemas.openxmlformats.org/spreadsheetml/2006/main" count="100" uniqueCount="34">
  <si>
    <t>Order_ID</t>
  </si>
  <si>
    <t>Order_Date</t>
  </si>
  <si>
    <t>Region</t>
  </si>
  <si>
    <t>Product</t>
  </si>
  <si>
    <t>Units</t>
  </si>
  <si>
    <t>Unit_Price</t>
  </si>
  <si>
    <t>Unit_Cost</t>
  </si>
  <si>
    <t>Salesperson</t>
  </si>
  <si>
    <t>Total_Sales</t>
  </si>
  <si>
    <t>Total_Cost</t>
  </si>
  <si>
    <t>Profit</t>
  </si>
  <si>
    <t>Nairobi</t>
  </si>
  <si>
    <t>Laptop</t>
  </si>
  <si>
    <t>James</t>
  </si>
  <si>
    <t>Mombasa</t>
  </si>
  <si>
    <t>Phone</t>
  </si>
  <si>
    <t>Mary</t>
  </si>
  <si>
    <t>Kisumu</t>
  </si>
  <si>
    <t>Printer</t>
  </si>
  <si>
    <t>Peter</t>
  </si>
  <si>
    <t>Grace</t>
  </si>
  <si>
    <t>Nakuru</t>
  </si>
  <si>
    <t>Row Labels</t>
  </si>
  <si>
    <t>Grand Total</t>
  </si>
  <si>
    <t>Sum of Total_Sales</t>
  </si>
  <si>
    <t>Sum of Profit</t>
  </si>
  <si>
    <t>KPI</t>
  </si>
  <si>
    <t>Value(Ksh)</t>
  </si>
  <si>
    <t xml:space="preserve">Total sales </t>
  </si>
  <si>
    <t>Total cost</t>
  </si>
  <si>
    <t>Total profit</t>
  </si>
  <si>
    <t>Profit margin</t>
  </si>
  <si>
    <t xml:space="preserve"> </t>
  </si>
  <si>
    <t>SALES PERFOMANCE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</si>
</sst>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8" x14ac:knownFonts="1">
    <font>
      <sz val="11"/>
      <color theme="1"/>
      <name val="Calibri"/>
      <family val="2"/>
      <scheme val="minor"/>
    </font>
    <font>
      <sz val="11"/>
      <color rgb="FFFF0000"/>
      <name val="Calibri"/>
      <family val="2"/>
      <scheme val="minor"/>
    </font>
    <font>
      <b/>
      <sz val="11"/>
      <color theme="1"/>
      <name val="Calibri"/>
      <family val="2"/>
      <scheme val="minor"/>
    </font>
    <font>
      <b/>
      <sz val="18"/>
      <color theme="1"/>
      <name val="Calibri"/>
      <family val="2"/>
      <scheme val="minor"/>
    </font>
    <font>
      <sz val="18"/>
      <color theme="1"/>
      <name val="Calibri"/>
      <family val="2"/>
      <scheme val="minor"/>
    </font>
    <font>
      <sz val="18"/>
      <color theme="8"/>
      <name val="Calibri"/>
      <family val="2"/>
      <scheme val="minor"/>
    </font>
    <font>
      <b/>
      <sz val="11"/>
      <color theme="8"/>
      <name val="Calibri"/>
      <family val="2"/>
      <scheme val="minor"/>
    </font>
    <font>
      <b/>
      <sz val="18"/>
      <color theme="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10" fontId="0" fillId="0" borderId="0" xfId="0" applyNumberFormat="1"/>
    <xf numFmtId="0" fontId="2" fillId="0" borderId="0" xfId="0" applyFont="1"/>
    <xf numFmtId="0" fontId="3" fillId="0" borderId="0" xfId="0" applyFont="1"/>
    <xf numFmtId="0" fontId="4" fillId="0" borderId="0" xfId="0" applyFont="1"/>
    <xf numFmtId="4" fontId="0" fillId="0" borderId="0" xfId="0" applyNumberFormat="1"/>
    <xf numFmtId="0" fontId="3" fillId="0" borderId="0" xfId="0" applyFont="1" applyAlignment="1">
      <alignment horizontal="center"/>
    </xf>
    <xf numFmtId="0" fontId="2" fillId="0" borderId="0" xfId="0" applyFont="1" applyAlignment="1"/>
    <xf numFmtId="0" fontId="1" fillId="0" borderId="0" xfId="0" applyFont="1"/>
    <xf numFmtId="0" fontId="5" fillId="0" borderId="0" xfId="0" applyFont="1"/>
    <xf numFmtId="0" fontId="7" fillId="0" borderId="0" xfId="0" applyFont="1" applyAlignment="1">
      <alignment horizontal="center"/>
    </xf>
    <xf numFmtId="0" fontId="6" fillId="0" borderId="0" xfId="0" applyFont="1"/>
  </cellXfs>
  <cellStyles count="1">
    <cellStyle name="Normal" xfId="0" builtinId="0"/>
  </cellStyles>
  <dxfs count="3">
    <dxf>
      <font>
        <color rgb="FF9C0006"/>
      </font>
      <fill>
        <patternFill>
          <bgColor rgb="FFFFC7CE"/>
        </patternFill>
      </fill>
    </dxf>
    <dxf>
      <font>
        <color rgb="FF9C0006"/>
      </font>
      <fill>
        <patternFill>
          <bgColor rgb="FFFFC7CE"/>
        </patternFill>
      </fil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[Sales_Performance_Dashboard_2026.xlsx]Sheet4!PivotTable3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region</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manualLayout>
          <c:layoutTarget val="inner"/>
          <c:xMode val="edge"/>
          <c:yMode val="edge"/>
          <c:x val="0.11602537182852143"/>
          <c:y val="0.25823431162013832"/>
          <c:w val="0.58255249343832016"/>
          <c:h val="0.44987700917550594"/>
        </c:manualLayout>
      </c:layout>
      <c:barChart>
        <c:barDir val="col"/>
        <c:grouping val="clustered"/>
        <c:varyColors val="0"/>
        <c:ser>
          <c:idx val="0"/>
          <c:order val="0"/>
          <c:tx>
            <c:strRef>
              <c:f>Sheet4!$B$3</c:f>
              <c:strCache>
                <c:ptCount val="1"/>
                <c:pt idx="0">
                  <c:v>Sum of Total_Sales</c:v>
                </c:pt>
              </c:strCache>
            </c:strRef>
          </c:tx>
          <c:spPr>
            <a:solidFill>
              <a:schemeClr val="accent1"/>
            </a:solidFill>
            <a:ln>
              <a:noFill/>
            </a:ln>
            <a:effectLst/>
          </c:spPr>
          <c:invertIfNegative val="0"/>
          <c:cat>
            <c:strRef>
              <c:f>Sheet4!$A$4:$A$8</c:f>
              <c:strCache>
                <c:ptCount val="4"/>
                <c:pt idx="0">
                  <c:v>Kisumu</c:v>
                </c:pt>
                <c:pt idx="1">
                  <c:v>Mombasa</c:v>
                </c:pt>
                <c:pt idx="2">
                  <c:v>Nairobi</c:v>
                </c:pt>
                <c:pt idx="3">
                  <c:v>Nakuru</c:v>
                </c:pt>
              </c:strCache>
            </c:strRef>
          </c:cat>
          <c:val>
            <c:numRef>
              <c:f>Sheet4!$B$4:$B$8</c:f>
              <c:numCache>
                <c:formatCode>General</c:formatCode>
                <c:ptCount val="4"/>
                <c:pt idx="0">
                  <c:v>510000</c:v>
                </c:pt>
                <c:pt idx="1">
                  <c:v>557000</c:v>
                </c:pt>
                <c:pt idx="2">
                  <c:v>857000</c:v>
                </c:pt>
                <c:pt idx="3">
                  <c:v>420000</c:v>
                </c:pt>
              </c:numCache>
            </c:numRef>
          </c:val>
          <c:extLst>
            <c:ext xmlns:c16="http://schemas.microsoft.com/office/drawing/2014/chart" uri="{C3380CC4-5D6E-409C-BE32-E72D297353CC}">
              <c16:uniqueId val="{00000000-AF94-4BFA-A25A-5C51BC6C44E8}"/>
            </c:ext>
          </c:extLst>
        </c:ser>
        <c:ser>
          <c:idx val="1"/>
          <c:order val="1"/>
          <c:tx>
            <c:strRef>
              <c:f>Sheet4!$C$3</c:f>
              <c:strCache>
                <c:ptCount val="1"/>
                <c:pt idx="0">
                  <c:v>Sum of Profit</c:v>
                </c:pt>
              </c:strCache>
            </c:strRef>
          </c:tx>
          <c:spPr>
            <a:solidFill>
              <a:schemeClr val="accent2"/>
            </a:solidFill>
            <a:ln>
              <a:noFill/>
            </a:ln>
            <a:effectLst/>
          </c:spPr>
          <c:invertIfNegative val="0"/>
          <c:cat>
            <c:strRef>
              <c:f>Sheet4!$A$4:$A$8</c:f>
              <c:strCache>
                <c:ptCount val="4"/>
                <c:pt idx="0">
                  <c:v>Kisumu</c:v>
                </c:pt>
                <c:pt idx="1">
                  <c:v>Mombasa</c:v>
                </c:pt>
                <c:pt idx="2">
                  <c:v>Nairobi</c:v>
                </c:pt>
                <c:pt idx="3">
                  <c:v>Nakuru</c:v>
                </c:pt>
              </c:strCache>
            </c:strRef>
          </c:cat>
          <c:val>
            <c:numRef>
              <c:f>Sheet4!$C$4:$C$8</c:f>
              <c:numCache>
                <c:formatCode>General</c:formatCode>
                <c:ptCount val="4"/>
                <c:pt idx="0">
                  <c:v>146000</c:v>
                </c:pt>
                <c:pt idx="1">
                  <c:v>163000</c:v>
                </c:pt>
                <c:pt idx="2">
                  <c:v>239000</c:v>
                </c:pt>
                <c:pt idx="3">
                  <c:v>120000</c:v>
                </c:pt>
              </c:numCache>
            </c:numRef>
          </c:val>
          <c:extLst>
            <c:ext xmlns:c16="http://schemas.microsoft.com/office/drawing/2014/chart" uri="{C3380CC4-5D6E-409C-BE32-E72D297353CC}">
              <c16:uniqueId val="{00000001-AF94-4BFA-A25A-5C51BC6C44E8}"/>
            </c:ext>
          </c:extLst>
        </c:ser>
        <c:dLbls>
          <c:showLegendKey val="0"/>
          <c:showVal val="0"/>
          <c:showCatName val="0"/>
          <c:showSerName val="0"/>
          <c:showPercent val="0"/>
          <c:showBubbleSize val="0"/>
        </c:dLbls>
        <c:gapWidth val="219"/>
        <c:overlap val="-27"/>
        <c:axId val="447116880"/>
        <c:axId val="447117208"/>
      </c:barChart>
      <c:catAx>
        <c:axId val="447116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117208"/>
        <c:crosses val="autoZero"/>
        <c:auto val="1"/>
        <c:lblAlgn val="ctr"/>
        <c:lblOffset val="100"/>
        <c:noMultiLvlLbl val="0"/>
      </c:catAx>
      <c:valAx>
        <c:axId val="447117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1168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[Sales_Performance_Dashboard_2026.xlsx]Sheet2!PivotTable1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product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Sheet2!$A$4:$A$7</c:f>
              <c:strCache>
                <c:ptCount val="3"/>
                <c:pt idx="0">
                  <c:v>Laptop</c:v>
                </c:pt>
                <c:pt idx="1">
                  <c:v>Phone</c:v>
                </c:pt>
                <c:pt idx="2">
                  <c:v>Printer</c:v>
                </c:pt>
              </c:strCache>
            </c:strRef>
          </c:cat>
          <c:val>
            <c:numRef>
              <c:f>Sheet2!$B$4:$B$7</c:f>
              <c:numCache>
                <c:formatCode>General</c:formatCode>
                <c:ptCount val="3"/>
                <c:pt idx="0">
                  <c:v>299000</c:v>
                </c:pt>
                <c:pt idx="1">
                  <c:v>231000</c:v>
                </c:pt>
                <c:pt idx="2">
                  <c:v>138000</c:v>
                </c:pt>
              </c:numCache>
            </c:numRef>
          </c:val>
          <c:extLst>
            <c:ext xmlns:c16="http://schemas.microsoft.com/office/drawing/2014/chart" uri="{C3380CC4-5D6E-409C-BE32-E72D297353CC}">
              <c16:uniqueId val="{00000000-689D-4E70-BB49-BD7705468D72}"/>
            </c:ext>
          </c:extLst>
        </c:ser>
        <c:dLbls>
          <c:showLegendKey val="0"/>
          <c:showVal val="0"/>
          <c:showCatName val="0"/>
          <c:showSerName val="0"/>
          <c:showPercent val="0"/>
          <c:showBubbleSize val="0"/>
        </c:dLbls>
        <c:gapWidth val="219"/>
        <c:overlap val="-27"/>
        <c:axId val="237769296"/>
        <c:axId val="438396120"/>
      </c:barChart>
      <c:catAx>
        <c:axId val="237769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396120"/>
        <c:crosses val="autoZero"/>
        <c:auto val="1"/>
        <c:lblAlgn val="ctr"/>
        <c:lblOffset val="100"/>
        <c:noMultiLvlLbl val="0"/>
      </c:catAx>
      <c:valAx>
        <c:axId val="438396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76929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[Sales_Performance_Dashboard_2026.xlsx]Sheet3!PivotTable2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salesperson</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Sheet3!$A$4:$A$8</c:f>
              <c:strCache>
                <c:ptCount val="4"/>
                <c:pt idx="0">
                  <c:v>Grace</c:v>
                </c:pt>
                <c:pt idx="1">
                  <c:v>James</c:v>
                </c:pt>
                <c:pt idx="2">
                  <c:v>Mary</c:v>
                </c:pt>
                <c:pt idx="3">
                  <c:v>Peter</c:v>
                </c:pt>
              </c:strCache>
            </c:strRef>
          </c:cat>
          <c:val>
            <c:numRef>
              <c:f>Sheet3!$B$4:$B$8</c:f>
              <c:numCache>
                <c:formatCode>General</c:formatCode>
                <c:ptCount val="4"/>
                <c:pt idx="0">
                  <c:v>193000</c:v>
                </c:pt>
                <c:pt idx="1">
                  <c:v>166000</c:v>
                </c:pt>
                <c:pt idx="2">
                  <c:v>163000</c:v>
                </c:pt>
                <c:pt idx="3">
                  <c:v>146000</c:v>
                </c:pt>
              </c:numCache>
            </c:numRef>
          </c:val>
          <c:extLst>
            <c:ext xmlns:c16="http://schemas.microsoft.com/office/drawing/2014/chart" uri="{C3380CC4-5D6E-409C-BE32-E72D297353CC}">
              <c16:uniqueId val="{00000000-9364-42AB-A309-41D827680EB3}"/>
            </c:ext>
          </c:extLst>
        </c:ser>
        <c:dLbls>
          <c:showLegendKey val="0"/>
          <c:showVal val="0"/>
          <c:showCatName val="0"/>
          <c:showSerName val="0"/>
          <c:showPercent val="0"/>
          <c:showBubbleSize val="0"/>
        </c:dLbls>
        <c:gapWidth val="219"/>
        <c:overlap val="-27"/>
        <c:axId val="440721928"/>
        <c:axId val="440720288"/>
      </c:barChart>
      <c:catAx>
        <c:axId val="4407219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720288"/>
        <c:crosses val="autoZero"/>
        <c:auto val="1"/>
        <c:lblAlgn val="ctr"/>
        <c:lblOffset val="100"/>
        <c:noMultiLvlLbl val="0"/>
      </c:catAx>
      <c:valAx>
        <c:axId val="440720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72192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[Sales_Performance_Dashboard_2026.xlsx]Sheet4!PivotTable3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and profit by region</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s>
    <c:plotArea>
      <c:layout/>
      <c:barChart>
        <c:barDir val="col"/>
        <c:grouping val="clustered"/>
        <c:varyColors val="0"/>
        <c:ser>
          <c:idx val="0"/>
          <c:order val="0"/>
          <c:tx>
            <c:strRef>
              <c:f>Sheet4!$B$3</c:f>
              <c:strCache>
                <c:ptCount val="1"/>
                <c:pt idx="0">
                  <c:v>Sum of Total_Sales</c:v>
                </c:pt>
              </c:strCache>
            </c:strRef>
          </c:tx>
          <c:spPr>
            <a:solidFill>
              <a:schemeClr val="accent1"/>
            </a:solidFill>
            <a:ln>
              <a:noFill/>
            </a:ln>
            <a:effectLst/>
          </c:spPr>
          <c:invertIfNegative val="0"/>
          <c:cat>
            <c:strRef>
              <c:f>Sheet4!$A$4:$A$8</c:f>
              <c:strCache>
                <c:ptCount val="4"/>
                <c:pt idx="0">
                  <c:v>Kisumu</c:v>
                </c:pt>
                <c:pt idx="1">
                  <c:v>Mombasa</c:v>
                </c:pt>
                <c:pt idx="2">
                  <c:v>Nairobi</c:v>
                </c:pt>
                <c:pt idx="3">
                  <c:v>Nakuru</c:v>
                </c:pt>
              </c:strCache>
            </c:strRef>
          </c:cat>
          <c:val>
            <c:numRef>
              <c:f>Sheet4!$B$4:$B$8</c:f>
              <c:numCache>
                <c:formatCode>General</c:formatCode>
                <c:ptCount val="4"/>
                <c:pt idx="0">
                  <c:v>510000</c:v>
                </c:pt>
                <c:pt idx="1">
                  <c:v>557000</c:v>
                </c:pt>
                <c:pt idx="2">
                  <c:v>857000</c:v>
                </c:pt>
                <c:pt idx="3">
                  <c:v>420000</c:v>
                </c:pt>
              </c:numCache>
            </c:numRef>
          </c:val>
          <c:extLst>
            <c:ext xmlns:c16="http://schemas.microsoft.com/office/drawing/2014/chart" uri="{C3380CC4-5D6E-409C-BE32-E72D297353CC}">
              <c16:uniqueId val="{00000000-DBE7-4D17-8085-12066E3DE8A6}"/>
            </c:ext>
          </c:extLst>
        </c:ser>
        <c:ser>
          <c:idx val="1"/>
          <c:order val="1"/>
          <c:tx>
            <c:strRef>
              <c:f>Sheet4!$C$3</c:f>
              <c:strCache>
                <c:ptCount val="1"/>
                <c:pt idx="0">
                  <c:v>Sum of Profit</c:v>
                </c:pt>
              </c:strCache>
            </c:strRef>
          </c:tx>
          <c:spPr>
            <a:solidFill>
              <a:schemeClr val="accent2"/>
            </a:solidFill>
            <a:ln>
              <a:noFill/>
            </a:ln>
            <a:effectLst/>
          </c:spPr>
          <c:invertIfNegative val="0"/>
          <c:cat>
            <c:strRef>
              <c:f>Sheet4!$A$4:$A$8</c:f>
              <c:strCache>
                <c:ptCount val="4"/>
                <c:pt idx="0">
                  <c:v>Kisumu</c:v>
                </c:pt>
                <c:pt idx="1">
                  <c:v>Mombasa</c:v>
                </c:pt>
                <c:pt idx="2">
                  <c:v>Nairobi</c:v>
                </c:pt>
                <c:pt idx="3">
                  <c:v>Nakuru</c:v>
                </c:pt>
              </c:strCache>
            </c:strRef>
          </c:cat>
          <c:val>
            <c:numRef>
              <c:f>Sheet4!$C$4:$C$8</c:f>
              <c:numCache>
                <c:formatCode>General</c:formatCode>
                <c:ptCount val="4"/>
                <c:pt idx="0">
                  <c:v>146000</c:v>
                </c:pt>
                <c:pt idx="1">
                  <c:v>163000</c:v>
                </c:pt>
                <c:pt idx="2">
                  <c:v>239000</c:v>
                </c:pt>
                <c:pt idx="3">
                  <c:v>120000</c:v>
                </c:pt>
              </c:numCache>
            </c:numRef>
          </c:val>
          <c:extLst>
            <c:ext xmlns:c16="http://schemas.microsoft.com/office/drawing/2014/chart" uri="{C3380CC4-5D6E-409C-BE32-E72D297353CC}">
              <c16:uniqueId val="{00000001-DBE7-4D17-8085-12066E3DE8A6}"/>
            </c:ext>
          </c:extLst>
        </c:ser>
        <c:dLbls>
          <c:showLegendKey val="0"/>
          <c:showVal val="0"/>
          <c:showCatName val="0"/>
          <c:showSerName val="0"/>
          <c:showPercent val="0"/>
          <c:showBubbleSize val="0"/>
        </c:dLbls>
        <c:gapWidth val="219"/>
        <c:overlap val="-27"/>
        <c:axId val="449502464"/>
        <c:axId val="449499512"/>
      </c:barChart>
      <c:catAx>
        <c:axId val="449502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499512"/>
        <c:crosses val="autoZero"/>
        <c:auto val="1"/>
        <c:lblAlgn val="ctr"/>
        <c:lblOffset val="100"/>
        <c:noMultiLvlLbl val="0"/>
      </c:catAx>
      <c:valAx>
        <c:axId val="449499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50246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7</xdr:col>
      <xdr:colOff>342900</xdr:colOff>
      <xdr:row>4</xdr:row>
      <xdr:rowOff>31750</xdr:rowOff>
    </xdr:from>
    <xdr:to>
      <xdr:col>10</xdr:col>
      <xdr:colOff>342900</xdr:colOff>
      <xdr:row>17</xdr:row>
      <xdr:rowOff>161925</xdr:rowOff>
    </xdr:to>
    <mc:AlternateContent xmlns:mc="http://schemas.openxmlformats.org/markup-compatibility/2006">
      <mc:Choice xmlns:a14="http://schemas.microsoft.com/office/drawing/2010/main" Requires="a14">
        <xdr:graphicFrame macro="">
          <xdr:nvGraphicFramePr>
            <xdr:cNvPr id="2"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5080000" y="76835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6350</xdr:colOff>
      <xdr:row>4</xdr:row>
      <xdr:rowOff>31750</xdr:rowOff>
    </xdr:from>
    <xdr:to>
      <xdr:col>8</xdr:col>
      <xdr:colOff>6350</xdr:colOff>
      <xdr:row>17</xdr:row>
      <xdr:rowOff>161925</xdr:rowOff>
    </xdr:to>
    <mc:AlternateContent xmlns:mc="http://schemas.openxmlformats.org/markup-compatibility/2006">
      <mc:Choice xmlns:a14="http://schemas.microsoft.com/office/drawing/2010/main" Requires="a14">
        <xdr:graphicFrame macro="">
          <xdr:nvGraphicFramePr>
            <xdr:cNvPr id="2"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076700" y="76835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19050</xdr:colOff>
      <xdr:row>3</xdr:row>
      <xdr:rowOff>177800</xdr:rowOff>
    </xdr:from>
    <xdr:to>
      <xdr:col>7</xdr:col>
      <xdr:colOff>603250</xdr:colOff>
      <xdr:row>16</xdr:row>
      <xdr:rowOff>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xdr:colOff>
      <xdr:row>4</xdr:row>
      <xdr:rowOff>12700</xdr:rowOff>
    </xdr:from>
    <xdr:to>
      <xdr:col>16</xdr:col>
      <xdr:colOff>25400</xdr:colOff>
      <xdr:row>16</xdr:row>
      <xdr:rowOff>6350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120650</xdr:colOff>
      <xdr:row>19</xdr:row>
      <xdr:rowOff>19051</xdr:rowOff>
    </xdr:from>
    <xdr:to>
      <xdr:col>8</xdr:col>
      <xdr:colOff>6350</xdr:colOff>
      <xdr:row>30</xdr:row>
      <xdr:rowOff>44450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590550</xdr:colOff>
      <xdr:row>19</xdr:row>
      <xdr:rowOff>19050</xdr:rowOff>
    </xdr:from>
    <xdr:to>
      <xdr:col>15</xdr:col>
      <xdr:colOff>539750</xdr:colOff>
      <xdr:row>30</xdr:row>
      <xdr:rowOff>44450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Erastus Simiti" refreshedDate="46307.523265277778" createdVersion="6" refreshedVersion="6" minRefreshableVersion="3" recordCount="20">
  <cacheSource type="worksheet">
    <worksheetSource name="Table1"/>
  </cacheSource>
  <cacheFields count="11">
    <cacheField name="Order_ID" numFmtId="0">
      <sharedItems containsSemiMixedTypes="0" containsString="0" containsNumber="1" containsInteger="1" minValue="1001" maxValue="1020"/>
    </cacheField>
    <cacheField name="Order_Date" numFmtId="14">
      <sharedItems containsSemiMixedTypes="0" containsNonDate="0" containsDate="1" containsString="0" minDate="2026-01-05T00:00:00" maxDate="2026-01-25T00:00:00"/>
    </cacheField>
    <cacheField name="Region" numFmtId="0">
      <sharedItems count="4">
        <s v="Nairobi"/>
        <s v="Mombasa"/>
        <s v="Kisumu"/>
        <s v="Nakuru"/>
      </sharedItems>
    </cacheField>
    <cacheField name="Product" numFmtId="0">
      <sharedItems count="3">
        <s v="Laptop"/>
        <s v="Phone"/>
        <s v="Printer"/>
      </sharedItems>
    </cacheField>
    <cacheField name="Units" numFmtId="0">
      <sharedItems containsSemiMixedTypes="0" containsString="0" containsNumber="1" containsInteger="1" minValue="1" maxValue="7"/>
    </cacheField>
    <cacheField name="Unit_Price" numFmtId="0">
      <sharedItems containsSemiMixedTypes="0" containsString="0" containsNumber="1" containsInteger="1" minValue="18000" maxValue="85000"/>
    </cacheField>
    <cacheField name="Unit_Cost" numFmtId="0">
      <sharedItems containsSemiMixedTypes="0" containsString="0" containsNumber="1" containsInteger="1" minValue="12000" maxValue="62000"/>
    </cacheField>
    <cacheField name="Salesperson" numFmtId="0">
      <sharedItems count="4">
        <s v="James"/>
        <s v="Mary"/>
        <s v="Peter"/>
        <s v="Grace"/>
      </sharedItems>
    </cacheField>
    <cacheField name="Total_Sales" numFmtId="0">
      <sharedItems containsSemiMixedTypes="0" containsString="0" containsNumber="1" containsInteger="1" minValue="36000" maxValue="255000"/>
    </cacheField>
    <cacheField name="Total_Cost" numFmtId="0">
      <sharedItems containsSemiMixedTypes="0" containsString="0" containsNumber="1" containsInteger="1" minValue="24000" maxValue="186000"/>
    </cacheField>
    <cacheField name="Profit" numFmtId="0">
      <sharedItems containsSemiMixedTypes="0" containsString="0" containsNumber="1" containsInteger="1" minValue="12000" maxValue="6900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0">
  <r>
    <n v="1001"/>
    <d v="2026-01-05T00:00:00"/>
    <x v="0"/>
    <x v="0"/>
    <n v="2"/>
    <n v="85000"/>
    <n v="62000"/>
    <x v="0"/>
    <n v="170000"/>
    <n v="124000"/>
    <n v="46000"/>
  </r>
  <r>
    <n v="1002"/>
    <d v="2026-01-06T00:00:00"/>
    <x v="1"/>
    <x v="1"/>
    <n v="5"/>
    <n v="25000"/>
    <n v="18000"/>
    <x v="1"/>
    <n v="125000"/>
    <n v="90000"/>
    <n v="35000"/>
  </r>
  <r>
    <n v="1003"/>
    <d v="2026-01-07T00:00:00"/>
    <x v="2"/>
    <x v="2"/>
    <n v="3"/>
    <n v="18000"/>
    <n v="12000"/>
    <x v="2"/>
    <n v="54000"/>
    <n v="36000"/>
    <n v="18000"/>
  </r>
  <r>
    <n v="1004"/>
    <d v="2026-01-08T00:00:00"/>
    <x v="0"/>
    <x v="1"/>
    <n v="4"/>
    <n v="25000"/>
    <n v="18000"/>
    <x v="3"/>
    <n v="100000"/>
    <n v="72000"/>
    <n v="28000"/>
  </r>
  <r>
    <n v="1005"/>
    <d v="2026-01-09T00:00:00"/>
    <x v="3"/>
    <x v="0"/>
    <n v="1"/>
    <n v="85000"/>
    <n v="62000"/>
    <x v="0"/>
    <n v="85000"/>
    <n v="62000"/>
    <n v="23000"/>
  </r>
  <r>
    <n v="1006"/>
    <d v="2026-01-10T00:00:00"/>
    <x v="1"/>
    <x v="2"/>
    <n v="6"/>
    <n v="18000"/>
    <n v="12000"/>
    <x v="1"/>
    <n v="108000"/>
    <n v="72000"/>
    <n v="36000"/>
  </r>
  <r>
    <n v="1007"/>
    <d v="2026-01-11T00:00:00"/>
    <x v="2"/>
    <x v="0"/>
    <n v="2"/>
    <n v="85000"/>
    <n v="62000"/>
    <x v="2"/>
    <n v="170000"/>
    <n v="124000"/>
    <n v="46000"/>
  </r>
  <r>
    <n v="1008"/>
    <d v="2026-01-12T00:00:00"/>
    <x v="0"/>
    <x v="2"/>
    <n v="4"/>
    <n v="18000"/>
    <n v="12000"/>
    <x v="3"/>
    <n v="72000"/>
    <n v="48000"/>
    <n v="24000"/>
  </r>
  <r>
    <n v="1009"/>
    <d v="2026-01-13T00:00:00"/>
    <x v="3"/>
    <x v="1"/>
    <n v="3"/>
    <n v="25000"/>
    <n v="18000"/>
    <x v="0"/>
    <n v="75000"/>
    <n v="54000"/>
    <n v="21000"/>
  </r>
  <r>
    <n v="1010"/>
    <d v="2026-01-14T00:00:00"/>
    <x v="1"/>
    <x v="0"/>
    <n v="2"/>
    <n v="85000"/>
    <n v="62000"/>
    <x v="1"/>
    <n v="170000"/>
    <n v="124000"/>
    <n v="46000"/>
  </r>
  <r>
    <n v="1011"/>
    <d v="2026-01-15T00:00:00"/>
    <x v="2"/>
    <x v="1"/>
    <n v="6"/>
    <n v="25000"/>
    <n v="18000"/>
    <x v="2"/>
    <n v="150000"/>
    <n v="108000"/>
    <n v="42000"/>
  </r>
  <r>
    <n v="1012"/>
    <d v="2026-01-16T00:00:00"/>
    <x v="0"/>
    <x v="0"/>
    <n v="3"/>
    <n v="85000"/>
    <n v="62000"/>
    <x v="3"/>
    <n v="255000"/>
    <n v="186000"/>
    <n v="69000"/>
  </r>
  <r>
    <n v="1013"/>
    <d v="2026-01-17T00:00:00"/>
    <x v="3"/>
    <x v="2"/>
    <n v="5"/>
    <n v="18000"/>
    <n v="12000"/>
    <x v="0"/>
    <n v="90000"/>
    <n v="60000"/>
    <n v="30000"/>
  </r>
  <r>
    <n v="1014"/>
    <d v="2026-01-18T00:00:00"/>
    <x v="1"/>
    <x v="1"/>
    <n v="4"/>
    <n v="25000"/>
    <n v="18000"/>
    <x v="1"/>
    <n v="100000"/>
    <n v="72000"/>
    <n v="28000"/>
  </r>
  <r>
    <n v="1015"/>
    <d v="2026-01-19T00:00:00"/>
    <x v="2"/>
    <x v="2"/>
    <n v="2"/>
    <n v="18000"/>
    <n v="12000"/>
    <x v="2"/>
    <n v="36000"/>
    <n v="24000"/>
    <n v="12000"/>
  </r>
  <r>
    <n v="1016"/>
    <d v="2026-01-20T00:00:00"/>
    <x v="0"/>
    <x v="1"/>
    <n v="7"/>
    <n v="25000"/>
    <n v="18000"/>
    <x v="3"/>
    <n v="175000"/>
    <n v="126000"/>
    <n v="49000"/>
  </r>
  <r>
    <n v="1017"/>
    <d v="2026-01-21T00:00:00"/>
    <x v="3"/>
    <x v="0"/>
    <n v="2"/>
    <n v="85000"/>
    <n v="62000"/>
    <x v="0"/>
    <n v="170000"/>
    <n v="124000"/>
    <n v="46000"/>
  </r>
  <r>
    <n v="1018"/>
    <d v="2026-01-22T00:00:00"/>
    <x v="1"/>
    <x v="2"/>
    <n v="3"/>
    <n v="18000"/>
    <n v="12000"/>
    <x v="1"/>
    <n v="54000"/>
    <n v="36000"/>
    <n v="18000"/>
  </r>
  <r>
    <n v="1019"/>
    <d v="2026-01-23T00:00:00"/>
    <x v="2"/>
    <x v="1"/>
    <n v="4"/>
    <n v="25000"/>
    <n v="18000"/>
    <x v="2"/>
    <n v="100000"/>
    <n v="72000"/>
    <n v="28000"/>
  </r>
  <r>
    <n v="1020"/>
    <d v="2026-01-24T00:00:00"/>
    <x v="0"/>
    <x v="0"/>
    <n v="1"/>
    <n v="85000"/>
    <n v="62000"/>
    <x v="3"/>
    <n v="85000"/>
    <n v="62000"/>
    <n v="23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7" firstHeaderRow="1" firstDataRow="1" firstDataCol="1"/>
  <pivotFields count="11">
    <pivotField showAll="0"/>
    <pivotField numFmtId="14" showAll="0"/>
    <pivotField showAll="0">
      <items count="5">
        <item x="2"/>
        <item x="1"/>
        <item x="0"/>
        <item x="3"/>
        <item t="default"/>
      </items>
    </pivotField>
    <pivotField axis="axisRow" showAll="0">
      <items count="4">
        <item x="0"/>
        <item x="1"/>
        <item x="2"/>
        <item t="default"/>
      </items>
    </pivotField>
    <pivotField showAll="0"/>
    <pivotField showAll="0"/>
    <pivotField showAll="0"/>
    <pivotField showAll="0"/>
    <pivotField showAll="0"/>
    <pivotField showAll="0"/>
    <pivotField dataField="1" showAll="0"/>
  </pivotFields>
  <rowFields count="1">
    <field x="3"/>
  </rowFields>
  <rowItems count="4">
    <i>
      <x/>
    </i>
    <i>
      <x v="1"/>
    </i>
    <i>
      <x v="2"/>
    </i>
    <i t="grand">
      <x/>
    </i>
  </rowItems>
  <colItems count="1">
    <i/>
  </colItems>
  <dataFields count="1">
    <dataField name="Sum of Profit" fld="10"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8" firstHeaderRow="1" firstDataRow="1" firstDataCol="1"/>
  <pivotFields count="11">
    <pivotField showAll="0"/>
    <pivotField numFmtId="14" showAll="0"/>
    <pivotField showAll="0">
      <items count="5">
        <item x="2"/>
        <item x="1"/>
        <item x="0"/>
        <item x="3"/>
        <item t="default"/>
      </items>
    </pivotField>
    <pivotField showAll="0">
      <items count="4">
        <item x="0"/>
        <item x="1"/>
        <item x="2"/>
        <item t="default"/>
      </items>
    </pivotField>
    <pivotField showAll="0"/>
    <pivotField showAll="0"/>
    <pivotField showAll="0"/>
    <pivotField axis="axisRow" showAll="0">
      <items count="5">
        <item x="3"/>
        <item x="0"/>
        <item x="1"/>
        <item x="2"/>
        <item t="default"/>
      </items>
    </pivotField>
    <pivotField showAll="0"/>
    <pivotField showAll="0"/>
    <pivotField dataField="1" showAll="0"/>
  </pivotFields>
  <rowFields count="1">
    <field x="7"/>
  </rowFields>
  <rowItems count="5">
    <i>
      <x/>
    </i>
    <i>
      <x v="1"/>
    </i>
    <i>
      <x v="2"/>
    </i>
    <i>
      <x v="3"/>
    </i>
    <i t="grand">
      <x/>
    </i>
  </rowItems>
  <colItems count="1">
    <i/>
  </colItems>
  <dataFields count="1">
    <dataField name="Sum of Profit" fld="10" baseField="0" baseItem="0"/>
  </dataFields>
  <chartFormats count="3">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A3:C8" firstHeaderRow="0" firstDataRow="1" firstDataCol="1"/>
  <pivotFields count="11">
    <pivotField showAll="0"/>
    <pivotField numFmtId="14" showAll="0"/>
    <pivotField axis="axisRow" showAll="0">
      <items count="5">
        <item x="2"/>
        <item x="1"/>
        <item x="0"/>
        <item x="3"/>
        <item t="default"/>
      </items>
    </pivotField>
    <pivotField showAll="0">
      <items count="4">
        <item x="0"/>
        <item x="1"/>
        <item x="2"/>
        <item t="default"/>
      </items>
    </pivotField>
    <pivotField showAll="0"/>
    <pivotField showAll="0"/>
    <pivotField showAll="0"/>
    <pivotField showAll="0"/>
    <pivotField dataField="1" showAll="0"/>
    <pivotField showAll="0"/>
    <pivotField dataField="1" showAll="0"/>
  </pivotFields>
  <rowFields count="1">
    <field x="2"/>
  </rowFields>
  <rowItems count="5">
    <i>
      <x/>
    </i>
    <i>
      <x v="1"/>
    </i>
    <i>
      <x v="2"/>
    </i>
    <i>
      <x v="3"/>
    </i>
    <i t="grand">
      <x/>
    </i>
  </rowItems>
  <colFields count="1">
    <field x="-2"/>
  </colFields>
  <colItems count="2">
    <i>
      <x/>
    </i>
    <i i="1">
      <x v="1"/>
    </i>
  </colItems>
  <dataFields count="2">
    <dataField name="Sum of Total_Sales" fld="8" baseField="0" baseItem="0"/>
    <dataField name="Sum of Profit" fld="10" baseField="0" baseItem="0"/>
  </dataFields>
  <chartFormats count="4">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4" name="PivotTable3"/>
    <pivotTable tabId="2" name="PivotTable1"/>
    <pivotTable tabId="3" name="PivotTable2"/>
  </pivotTables>
  <data>
    <tabular pivotCacheId="1">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2" name="PivotTable1"/>
    <pivotTable tabId="3" name="PivotTable2"/>
    <pivotTable tabId="4" name="PivotTable3"/>
  </pivotTables>
  <data>
    <tabular pivotCacheId="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 cache="Slicer_Product" caption="Product"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41300"/>
</slicers>
</file>

<file path=xl/tables/table1.xml><?xml version="1.0" encoding="utf-8"?>
<table xmlns="http://schemas.openxmlformats.org/spreadsheetml/2006/main" id="1" name="Table1" displayName="Table1" ref="A1:K21" totalsRowShown="0">
  <autoFilter ref="A1:K21"/>
  <tableColumns count="11">
    <tableColumn id="1" name="Order_ID"/>
    <tableColumn id="2" name="Order_Date" dataDxfId="2"/>
    <tableColumn id="3" name="Region"/>
    <tableColumn id="4" name="Product"/>
    <tableColumn id="5" name="Units"/>
    <tableColumn id="6" name="Unit_Price"/>
    <tableColumn id="7" name="Unit_Cost"/>
    <tableColumn id="8" name="Salesperson"/>
    <tableColumn id="9" name="Total_Sales">
      <calculatedColumnFormula>E2*F2</calculatedColumnFormula>
    </tableColumn>
    <tableColumn id="10" name="Total_Cost">
      <calculatedColumnFormula>E2*G2</calculatedColumnFormula>
    </tableColumn>
    <tableColumn id="11" name="Profit">
      <calculatedColumnFormula>I2-J2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B6" sqref="B6"/>
    </sheetView>
    <sheetView workbookViewId="1"/>
  </sheetViews>
  <sheetFormatPr defaultRowHeight="14.5" x14ac:dyDescent="0.35"/>
  <cols>
    <col min="1" max="1" width="12.36328125" customWidth="1"/>
    <col min="2" max="2" width="11.81640625" customWidth="1"/>
  </cols>
  <sheetData>
    <row r="3" spans="1:2" x14ac:dyDescent="0.35">
      <c r="A3" s="2" t="s">
        <v>22</v>
      </c>
      <c r="B3" t="s">
        <v>25</v>
      </c>
    </row>
    <row r="4" spans="1:2" x14ac:dyDescent="0.35">
      <c r="A4" s="3" t="s">
        <v>12</v>
      </c>
      <c r="B4" s="4">
        <v>299000</v>
      </c>
    </row>
    <row r="5" spans="1:2" x14ac:dyDescent="0.35">
      <c r="A5" s="3" t="s">
        <v>15</v>
      </c>
      <c r="B5" s="4">
        <v>231000</v>
      </c>
    </row>
    <row r="6" spans="1:2" x14ac:dyDescent="0.35">
      <c r="A6" s="3" t="s">
        <v>18</v>
      </c>
      <c r="B6" s="4">
        <v>138000</v>
      </c>
    </row>
    <row r="7" spans="1:2" x14ac:dyDescent="0.35">
      <c r="A7" s="3" t="s">
        <v>23</v>
      </c>
      <c r="B7" s="4">
        <v>668000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A5" sqref="A5"/>
    </sheetView>
    <sheetView workbookViewId="1"/>
  </sheetViews>
  <sheetFormatPr defaultRowHeight="14.5" x14ac:dyDescent="0.35"/>
  <cols>
    <col min="1" max="1" width="12.36328125" bestFit="1" customWidth="1"/>
    <col min="2" max="2" width="11.81640625" bestFit="1" customWidth="1"/>
  </cols>
  <sheetData>
    <row r="3" spans="1:2" x14ac:dyDescent="0.35">
      <c r="A3" s="2" t="s">
        <v>22</v>
      </c>
      <c r="B3" t="s">
        <v>25</v>
      </c>
    </row>
    <row r="4" spans="1:2" x14ac:dyDescent="0.35">
      <c r="A4" s="3" t="s">
        <v>20</v>
      </c>
      <c r="B4" s="4">
        <v>193000</v>
      </c>
    </row>
    <row r="5" spans="1:2" x14ac:dyDescent="0.35">
      <c r="A5" s="3" t="s">
        <v>13</v>
      </c>
      <c r="B5" s="4">
        <v>166000</v>
      </c>
    </row>
    <row r="6" spans="1:2" x14ac:dyDescent="0.35">
      <c r="A6" s="3" t="s">
        <v>16</v>
      </c>
      <c r="B6" s="4">
        <v>163000</v>
      </c>
    </row>
    <row r="7" spans="1:2" x14ac:dyDescent="0.35">
      <c r="A7" s="3" t="s">
        <v>19</v>
      </c>
      <c r="B7" s="4">
        <v>146000</v>
      </c>
    </row>
    <row r="8" spans="1:2" x14ac:dyDescent="0.35">
      <c r="A8" s="3" t="s">
        <v>23</v>
      </c>
      <c r="B8" s="4">
        <v>668000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8"/>
  <sheetViews>
    <sheetView workbookViewId="0">
      <selection activeCell="A5" sqref="A5"/>
    </sheetView>
    <sheetView workbookViewId="1"/>
  </sheetViews>
  <sheetFormatPr defaultRowHeight="14.5" x14ac:dyDescent="0.35"/>
  <cols>
    <col min="1" max="1" width="12.36328125" bestFit="1" customWidth="1"/>
    <col min="2" max="2" width="16.6328125" bestFit="1" customWidth="1"/>
    <col min="3" max="3" width="11.81640625" bestFit="1" customWidth="1"/>
  </cols>
  <sheetData>
    <row r="3" spans="1:5" x14ac:dyDescent="0.35">
      <c r="A3" s="2" t="s">
        <v>22</v>
      </c>
      <c r="B3" t="s">
        <v>24</v>
      </c>
      <c r="C3" t="s">
        <v>25</v>
      </c>
    </row>
    <row r="4" spans="1:5" x14ac:dyDescent="0.35">
      <c r="A4" s="3" t="s">
        <v>17</v>
      </c>
      <c r="B4" s="4">
        <v>510000</v>
      </c>
      <c r="C4" s="4">
        <v>146000</v>
      </c>
      <c r="D4" s="5"/>
      <c r="E4" s="5"/>
    </row>
    <row r="5" spans="1:5" x14ac:dyDescent="0.35">
      <c r="A5" s="3" t="s">
        <v>14</v>
      </c>
      <c r="B5" s="4">
        <v>557000</v>
      </c>
      <c r="C5" s="4">
        <v>163000</v>
      </c>
      <c r="D5" s="5"/>
      <c r="E5" s="5"/>
    </row>
    <row r="6" spans="1:5" x14ac:dyDescent="0.35">
      <c r="A6" s="3" t="s">
        <v>11</v>
      </c>
      <c r="B6" s="4">
        <v>857000</v>
      </c>
      <c r="C6" s="4">
        <v>239000</v>
      </c>
      <c r="D6" s="5"/>
      <c r="E6" s="5"/>
    </row>
    <row r="7" spans="1:5" x14ac:dyDescent="0.35">
      <c r="A7" s="3" t="s">
        <v>21</v>
      </c>
      <c r="B7" s="4">
        <v>420000</v>
      </c>
      <c r="C7" s="4">
        <v>120000</v>
      </c>
      <c r="D7" s="5"/>
      <c r="E7" s="5"/>
    </row>
    <row r="8" spans="1:5" x14ac:dyDescent="0.35">
      <c r="A8" s="3" t="s">
        <v>23</v>
      </c>
      <c r="B8" s="4">
        <v>2344000</v>
      </c>
      <c r="C8" s="4">
        <v>668000</v>
      </c>
      <c r="D8" s="5"/>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J44"/>
  <sheetViews>
    <sheetView showGridLines="0" tabSelected="1" zoomScaleNormal="100" workbookViewId="0">
      <selection activeCell="B33" sqref="B33:C37"/>
    </sheetView>
    <sheetView showGridLines="0" tabSelected="1" workbookViewId="1">
      <selection activeCell="G39" sqref="G39"/>
    </sheetView>
  </sheetViews>
  <sheetFormatPr defaultRowHeight="14.5" x14ac:dyDescent="0.35"/>
  <cols>
    <col min="2" max="2" width="11.6328125" bestFit="1" customWidth="1"/>
    <col min="3" max="3" width="11.81640625" customWidth="1"/>
  </cols>
  <sheetData>
    <row r="1" spans="2:10" ht="23.5" x14ac:dyDescent="0.55000000000000004">
      <c r="B1" s="12"/>
      <c r="C1" s="12"/>
      <c r="F1" s="14"/>
      <c r="G1" s="14"/>
      <c r="H1" s="15" t="s">
        <v>33</v>
      </c>
      <c r="I1" s="14"/>
      <c r="J1" s="14"/>
    </row>
    <row r="2" spans="2:10" ht="23.5" x14ac:dyDescent="0.55000000000000004">
      <c r="C2" s="13"/>
      <c r="G2" s="8" t="s">
        <v>32</v>
      </c>
      <c r="H2" s="11"/>
      <c r="I2" s="8"/>
      <c r="J2" s="9"/>
    </row>
    <row r="19" spans="2:3" x14ac:dyDescent="0.35">
      <c r="C19" s="6"/>
    </row>
    <row r="25" spans="2:3" x14ac:dyDescent="0.35">
      <c r="C25" s="6"/>
    </row>
    <row r="32" spans="2:3" x14ac:dyDescent="0.35">
      <c r="B32" s="16" t="s">
        <v>26</v>
      </c>
      <c r="C32" s="16" t="s">
        <v>27</v>
      </c>
    </row>
    <row r="33" spans="2:3" x14ac:dyDescent="0.35">
      <c r="B33" s="7" t="s">
        <v>28</v>
      </c>
      <c r="C33" s="10">
        <v>2344000</v>
      </c>
    </row>
    <row r="34" spans="2:3" x14ac:dyDescent="0.35">
      <c r="B34" s="7" t="s">
        <v>29</v>
      </c>
      <c r="C34" s="10">
        <v>1676000</v>
      </c>
    </row>
    <row r="35" spans="2:3" x14ac:dyDescent="0.35">
      <c r="B35" s="7" t="s">
        <v>30</v>
      </c>
      <c r="C35" s="10">
        <v>668000</v>
      </c>
    </row>
    <row r="36" spans="2:3" x14ac:dyDescent="0.35">
      <c r="B36" s="7" t="s">
        <v>31</v>
      </c>
      <c r="C36" s="6">
        <v>0.28499999999999998</v>
      </c>
    </row>
    <row r="40" spans="2:3" x14ac:dyDescent="0.35">
      <c r="B40" s="16"/>
      <c r="C40" s="16"/>
    </row>
    <row r="41" spans="2:3" x14ac:dyDescent="0.35">
      <c r="B41" s="7"/>
      <c r="C41" s="10"/>
    </row>
    <row r="42" spans="2:3" x14ac:dyDescent="0.35">
      <c r="B42" s="7"/>
      <c r="C42" s="10"/>
    </row>
    <row r="43" spans="2:3" x14ac:dyDescent="0.35">
      <c r="B43" s="7"/>
      <c r="C43" s="10"/>
    </row>
    <row r="44" spans="2:3" x14ac:dyDescent="0.35">
      <c r="B44" s="7"/>
      <c r="C44" s="6"/>
    </row>
  </sheetData>
  <pageMargins left="0.25" right="0.25" top="0.75" bottom="0.75" header="0.3" footer="0.3"/>
  <pageSetup paperSize="9" scale="89"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1"/>
  <sheetViews>
    <sheetView workbookViewId="0">
      <pane ySplit="1" topLeftCell="A5" activePane="bottomLeft" state="frozen"/>
      <selection activeCell="B1" sqref="B1"/>
      <selection pane="bottomLeft" activeCell="A22" sqref="A22"/>
    </sheetView>
    <sheetView workbookViewId="1"/>
  </sheetViews>
  <sheetFormatPr defaultRowHeight="14.5" x14ac:dyDescent="0.35"/>
  <cols>
    <col min="1" max="1" width="10.54296875" customWidth="1"/>
    <col min="2" max="2" width="12.7265625" customWidth="1"/>
    <col min="4" max="4" width="9.453125" customWidth="1"/>
    <col min="6" max="6" width="11.453125" customWidth="1"/>
    <col min="7" max="7" width="11.08984375" customWidth="1"/>
    <col min="8" max="8" width="12.81640625" customWidth="1"/>
    <col min="9" max="9" width="12.26953125" customWidth="1"/>
    <col min="10" max="10" width="11.81640625" customWidth="1"/>
  </cols>
  <sheetData>
    <row r="1" spans="1:11" x14ac:dyDescent="0.35">
      <c r="A1" t="s">
        <v>0</v>
      </c>
      <c r="B1" t="s">
        <v>1</v>
      </c>
      <c r="C1" t="s">
        <v>2</v>
      </c>
      <c r="D1" t="s">
        <v>3</v>
      </c>
      <c r="E1" t="s">
        <v>4</v>
      </c>
      <c r="F1" t="s">
        <v>5</v>
      </c>
      <c r="G1" t="s">
        <v>6</v>
      </c>
      <c r="H1" t="s">
        <v>7</v>
      </c>
      <c r="I1" t="s">
        <v>8</v>
      </c>
      <c r="J1" t="s">
        <v>9</v>
      </c>
      <c r="K1" t="s">
        <v>10</v>
      </c>
    </row>
    <row r="2" spans="1:11" x14ac:dyDescent="0.35">
      <c r="A2">
        <v>1001</v>
      </c>
      <c r="B2" s="1">
        <v>46027</v>
      </c>
      <c r="C2" t="s">
        <v>11</v>
      </c>
      <c r="D2" t="s">
        <v>12</v>
      </c>
      <c r="E2">
        <v>2</v>
      </c>
      <c r="F2">
        <v>85000</v>
      </c>
      <c r="G2">
        <v>62000</v>
      </c>
      <c r="H2" t="s">
        <v>13</v>
      </c>
      <c r="I2">
        <f>E2*F2</f>
        <v>170000</v>
      </c>
      <c r="J2">
        <f>E2*G2</f>
        <v>124000</v>
      </c>
      <c r="K2">
        <f>I2-J2</f>
        <v>46000</v>
      </c>
    </row>
    <row r="3" spans="1:11" x14ac:dyDescent="0.35">
      <c r="A3">
        <v>1002</v>
      </c>
      <c r="B3" s="1">
        <v>46028</v>
      </c>
      <c r="C3" t="s">
        <v>14</v>
      </c>
      <c r="D3" t="s">
        <v>15</v>
      </c>
      <c r="E3">
        <v>5</v>
      </c>
      <c r="F3">
        <v>25000</v>
      </c>
      <c r="G3">
        <v>18000</v>
      </c>
      <c r="H3" t="s">
        <v>16</v>
      </c>
      <c r="I3">
        <f t="shared" ref="I3:I21" si="0">E3*F3</f>
        <v>125000</v>
      </c>
      <c r="J3">
        <f t="shared" ref="J3:J21" si="1">E3*G3</f>
        <v>90000</v>
      </c>
      <c r="K3">
        <f t="shared" ref="K3:K21" si="2">I3-J3</f>
        <v>35000</v>
      </c>
    </row>
    <row r="4" spans="1:11" x14ac:dyDescent="0.35">
      <c r="A4">
        <v>1003</v>
      </c>
      <c r="B4" s="1">
        <v>46029</v>
      </c>
      <c r="C4" t="s">
        <v>17</v>
      </c>
      <c r="D4" t="s">
        <v>18</v>
      </c>
      <c r="E4">
        <v>3</v>
      </c>
      <c r="F4">
        <v>18000</v>
      </c>
      <c r="G4">
        <v>12000</v>
      </c>
      <c r="H4" t="s">
        <v>19</v>
      </c>
      <c r="I4">
        <f t="shared" si="0"/>
        <v>54000</v>
      </c>
      <c r="J4">
        <f t="shared" si="1"/>
        <v>36000</v>
      </c>
      <c r="K4">
        <f t="shared" si="2"/>
        <v>18000</v>
      </c>
    </row>
    <row r="5" spans="1:11" x14ac:dyDescent="0.35">
      <c r="A5">
        <v>1004</v>
      </c>
      <c r="B5" s="1">
        <v>46030</v>
      </c>
      <c r="C5" t="s">
        <v>11</v>
      </c>
      <c r="D5" t="s">
        <v>15</v>
      </c>
      <c r="E5">
        <v>4</v>
      </c>
      <c r="F5">
        <v>25000</v>
      </c>
      <c r="G5">
        <v>18000</v>
      </c>
      <c r="H5" t="s">
        <v>20</v>
      </c>
      <c r="I5">
        <f t="shared" si="0"/>
        <v>100000</v>
      </c>
      <c r="J5">
        <f t="shared" si="1"/>
        <v>72000</v>
      </c>
      <c r="K5">
        <f t="shared" si="2"/>
        <v>28000</v>
      </c>
    </row>
    <row r="6" spans="1:11" x14ac:dyDescent="0.35">
      <c r="A6">
        <v>1005</v>
      </c>
      <c r="B6" s="1">
        <v>46031</v>
      </c>
      <c r="C6" t="s">
        <v>21</v>
      </c>
      <c r="D6" t="s">
        <v>12</v>
      </c>
      <c r="E6">
        <v>1</v>
      </c>
      <c r="F6">
        <v>85000</v>
      </c>
      <c r="G6">
        <v>62000</v>
      </c>
      <c r="H6" t="s">
        <v>13</v>
      </c>
      <c r="I6">
        <f t="shared" si="0"/>
        <v>85000</v>
      </c>
      <c r="J6">
        <f t="shared" si="1"/>
        <v>62000</v>
      </c>
      <c r="K6">
        <f t="shared" si="2"/>
        <v>23000</v>
      </c>
    </row>
    <row r="7" spans="1:11" x14ac:dyDescent="0.35">
      <c r="A7">
        <v>1006</v>
      </c>
      <c r="B7" s="1">
        <v>46032</v>
      </c>
      <c r="C7" t="s">
        <v>14</v>
      </c>
      <c r="D7" t="s">
        <v>18</v>
      </c>
      <c r="E7">
        <v>6</v>
      </c>
      <c r="F7">
        <v>18000</v>
      </c>
      <c r="G7">
        <v>12000</v>
      </c>
      <c r="H7" t="s">
        <v>16</v>
      </c>
      <c r="I7">
        <f t="shared" si="0"/>
        <v>108000</v>
      </c>
      <c r="J7">
        <f t="shared" si="1"/>
        <v>72000</v>
      </c>
      <c r="K7">
        <f t="shared" si="2"/>
        <v>36000</v>
      </c>
    </row>
    <row r="8" spans="1:11" x14ac:dyDescent="0.35">
      <c r="A8">
        <v>1007</v>
      </c>
      <c r="B8" s="1">
        <v>46033</v>
      </c>
      <c r="C8" t="s">
        <v>17</v>
      </c>
      <c r="D8" t="s">
        <v>12</v>
      </c>
      <c r="E8">
        <v>2</v>
      </c>
      <c r="F8">
        <v>85000</v>
      </c>
      <c r="G8">
        <v>62000</v>
      </c>
      <c r="H8" t="s">
        <v>19</v>
      </c>
      <c r="I8">
        <f t="shared" si="0"/>
        <v>170000</v>
      </c>
      <c r="J8">
        <f t="shared" si="1"/>
        <v>124000</v>
      </c>
      <c r="K8">
        <f t="shared" si="2"/>
        <v>46000</v>
      </c>
    </row>
    <row r="9" spans="1:11" x14ac:dyDescent="0.35">
      <c r="A9">
        <v>1008</v>
      </c>
      <c r="B9" s="1">
        <v>46034</v>
      </c>
      <c r="C9" t="s">
        <v>11</v>
      </c>
      <c r="D9" t="s">
        <v>18</v>
      </c>
      <c r="E9">
        <v>4</v>
      </c>
      <c r="F9">
        <v>18000</v>
      </c>
      <c r="G9">
        <v>12000</v>
      </c>
      <c r="H9" t="s">
        <v>20</v>
      </c>
      <c r="I9">
        <f t="shared" si="0"/>
        <v>72000</v>
      </c>
      <c r="J9">
        <f t="shared" si="1"/>
        <v>48000</v>
      </c>
      <c r="K9">
        <f t="shared" si="2"/>
        <v>24000</v>
      </c>
    </row>
    <row r="10" spans="1:11" x14ac:dyDescent="0.35">
      <c r="A10">
        <v>1009</v>
      </c>
      <c r="B10" s="1">
        <v>46035</v>
      </c>
      <c r="C10" t="s">
        <v>21</v>
      </c>
      <c r="D10" t="s">
        <v>15</v>
      </c>
      <c r="E10">
        <v>3</v>
      </c>
      <c r="F10">
        <v>25000</v>
      </c>
      <c r="G10">
        <v>18000</v>
      </c>
      <c r="H10" t="s">
        <v>13</v>
      </c>
      <c r="I10">
        <f t="shared" si="0"/>
        <v>75000</v>
      </c>
      <c r="J10">
        <f t="shared" si="1"/>
        <v>54000</v>
      </c>
      <c r="K10">
        <f t="shared" si="2"/>
        <v>21000</v>
      </c>
    </row>
    <row r="11" spans="1:11" x14ac:dyDescent="0.35">
      <c r="A11">
        <v>1010</v>
      </c>
      <c r="B11" s="1">
        <v>46036</v>
      </c>
      <c r="C11" t="s">
        <v>14</v>
      </c>
      <c r="D11" t="s">
        <v>12</v>
      </c>
      <c r="E11">
        <v>2</v>
      </c>
      <c r="F11">
        <v>85000</v>
      </c>
      <c r="G11">
        <v>62000</v>
      </c>
      <c r="H11" t="s">
        <v>16</v>
      </c>
      <c r="I11">
        <f t="shared" si="0"/>
        <v>170000</v>
      </c>
      <c r="J11">
        <f t="shared" si="1"/>
        <v>124000</v>
      </c>
      <c r="K11">
        <f t="shared" si="2"/>
        <v>46000</v>
      </c>
    </row>
    <row r="12" spans="1:11" x14ac:dyDescent="0.35">
      <c r="A12">
        <v>1011</v>
      </c>
      <c r="B12" s="1">
        <v>46037</v>
      </c>
      <c r="C12" t="s">
        <v>17</v>
      </c>
      <c r="D12" t="s">
        <v>15</v>
      </c>
      <c r="E12">
        <v>6</v>
      </c>
      <c r="F12">
        <v>25000</v>
      </c>
      <c r="G12">
        <v>18000</v>
      </c>
      <c r="H12" t="s">
        <v>19</v>
      </c>
      <c r="I12">
        <f t="shared" si="0"/>
        <v>150000</v>
      </c>
      <c r="J12">
        <f t="shared" si="1"/>
        <v>108000</v>
      </c>
      <c r="K12">
        <f t="shared" si="2"/>
        <v>42000</v>
      </c>
    </row>
    <row r="13" spans="1:11" x14ac:dyDescent="0.35">
      <c r="A13">
        <v>1012</v>
      </c>
      <c r="B13" s="1">
        <v>46038</v>
      </c>
      <c r="C13" t="s">
        <v>11</v>
      </c>
      <c r="D13" t="s">
        <v>12</v>
      </c>
      <c r="E13">
        <v>3</v>
      </c>
      <c r="F13">
        <v>85000</v>
      </c>
      <c r="G13">
        <v>62000</v>
      </c>
      <c r="H13" t="s">
        <v>20</v>
      </c>
      <c r="I13">
        <f t="shared" si="0"/>
        <v>255000</v>
      </c>
      <c r="J13">
        <f t="shared" si="1"/>
        <v>186000</v>
      </c>
      <c r="K13">
        <f t="shared" si="2"/>
        <v>69000</v>
      </c>
    </row>
    <row r="14" spans="1:11" x14ac:dyDescent="0.35">
      <c r="A14">
        <v>1013</v>
      </c>
      <c r="B14" s="1">
        <v>46039</v>
      </c>
      <c r="C14" t="s">
        <v>21</v>
      </c>
      <c r="D14" t="s">
        <v>18</v>
      </c>
      <c r="E14">
        <v>5</v>
      </c>
      <c r="F14">
        <v>18000</v>
      </c>
      <c r="G14">
        <v>12000</v>
      </c>
      <c r="H14" t="s">
        <v>13</v>
      </c>
      <c r="I14">
        <f t="shared" si="0"/>
        <v>90000</v>
      </c>
      <c r="J14">
        <f t="shared" si="1"/>
        <v>60000</v>
      </c>
      <c r="K14">
        <f t="shared" si="2"/>
        <v>30000</v>
      </c>
    </row>
    <row r="15" spans="1:11" x14ac:dyDescent="0.35">
      <c r="A15">
        <v>1014</v>
      </c>
      <c r="B15" s="1">
        <v>46040</v>
      </c>
      <c r="C15" t="s">
        <v>14</v>
      </c>
      <c r="D15" t="s">
        <v>15</v>
      </c>
      <c r="E15">
        <v>4</v>
      </c>
      <c r="F15">
        <v>25000</v>
      </c>
      <c r="G15">
        <v>18000</v>
      </c>
      <c r="H15" t="s">
        <v>16</v>
      </c>
      <c r="I15">
        <f t="shared" si="0"/>
        <v>100000</v>
      </c>
      <c r="J15">
        <f t="shared" si="1"/>
        <v>72000</v>
      </c>
      <c r="K15">
        <f t="shared" si="2"/>
        <v>28000</v>
      </c>
    </row>
    <row r="16" spans="1:11" x14ac:dyDescent="0.35">
      <c r="A16">
        <v>1015</v>
      </c>
      <c r="B16" s="1">
        <v>46041</v>
      </c>
      <c r="C16" t="s">
        <v>17</v>
      </c>
      <c r="D16" t="s">
        <v>18</v>
      </c>
      <c r="E16">
        <v>2</v>
      </c>
      <c r="F16">
        <v>18000</v>
      </c>
      <c r="G16">
        <v>12000</v>
      </c>
      <c r="H16" t="s">
        <v>19</v>
      </c>
      <c r="I16">
        <f t="shared" si="0"/>
        <v>36000</v>
      </c>
      <c r="J16">
        <f t="shared" si="1"/>
        <v>24000</v>
      </c>
      <c r="K16">
        <f t="shared" si="2"/>
        <v>12000</v>
      </c>
    </row>
    <row r="17" spans="1:11" x14ac:dyDescent="0.35">
      <c r="A17">
        <v>1016</v>
      </c>
      <c r="B17" s="1">
        <v>46042</v>
      </c>
      <c r="C17" t="s">
        <v>11</v>
      </c>
      <c r="D17" t="s">
        <v>15</v>
      </c>
      <c r="E17">
        <v>7</v>
      </c>
      <c r="F17">
        <v>25000</v>
      </c>
      <c r="G17">
        <v>18000</v>
      </c>
      <c r="H17" t="s">
        <v>20</v>
      </c>
      <c r="I17">
        <f t="shared" si="0"/>
        <v>175000</v>
      </c>
      <c r="J17">
        <f t="shared" si="1"/>
        <v>126000</v>
      </c>
      <c r="K17">
        <f t="shared" si="2"/>
        <v>49000</v>
      </c>
    </row>
    <row r="18" spans="1:11" x14ac:dyDescent="0.35">
      <c r="A18">
        <v>1017</v>
      </c>
      <c r="B18" s="1">
        <v>46043</v>
      </c>
      <c r="C18" t="s">
        <v>21</v>
      </c>
      <c r="D18" t="s">
        <v>12</v>
      </c>
      <c r="E18">
        <v>2</v>
      </c>
      <c r="F18">
        <v>85000</v>
      </c>
      <c r="G18">
        <v>62000</v>
      </c>
      <c r="H18" t="s">
        <v>13</v>
      </c>
      <c r="I18">
        <f t="shared" si="0"/>
        <v>170000</v>
      </c>
      <c r="J18">
        <f t="shared" si="1"/>
        <v>124000</v>
      </c>
      <c r="K18">
        <f t="shared" si="2"/>
        <v>46000</v>
      </c>
    </row>
    <row r="19" spans="1:11" x14ac:dyDescent="0.35">
      <c r="A19">
        <v>1018</v>
      </c>
      <c r="B19" s="1">
        <v>46044</v>
      </c>
      <c r="C19" t="s">
        <v>14</v>
      </c>
      <c r="D19" t="s">
        <v>18</v>
      </c>
      <c r="E19">
        <v>3</v>
      </c>
      <c r="F19">
        <v>18000</v>
      </c>
      <c r="G19">
        <v>12000</v>
      </c>
      <c r="H19" t="s">
        <v>16</v>
      </c>
      <c r="I19">
        <f t="shared" si="0"/>
        <v>54000</v>
      </c>
      <c r="J19">
        <f t="shared" si="1"/>
        <v>36000</v>
      </c>
      <c r="K19">
        <f t="shared" si="2"/>
        <v>18000</v>
      </c>
    </row>
    <row r="20" spans="1:11" x14ac:dyDescent="0.35">
      <c r="A20">
        <v>1019</v>
      </c>
      <c r="B20" s="1">
        <v>46045</v>
      </c>
      <c r="C20" t="s">
        <v>17</v>
      </c>
      <c r="D20" t="s">
        <v>15</v>
      </c>
      <c r="E20">
        <v>4</v>
      </c>
      <c r="F20">
        <v>25000</v>
      </c>
      <c r="G20">
        <v>18000</v>
      </c>
      <c r="H20" t="s">
        <v>19</v>
      </c>
      <c r="I20">
        <f t="shared" si="0"/>
        <v>100000</v>
      </c>
      <c r="J20">
        <f t="shared" si="1"/>
        <v>72000</v>
      </c>
      <c r="K20">
        <f t="shared" si="2"/>
        <v>28000</v>
      </c>
    </row>
    <row r="21" spans="1:11" x14ac:dyDescent="0.35">
      <c r="A21">
        <v>1020</v>
      </c>
      <c r="B21" s="1">
        <v>46046</v>
      </c>
      <c r="C21" t="s">
        <v>11</v>
      </c>
      <c r="D21" t="s">
        <v>12</v>
      </c>
      <c r="E21">
        <v>1</v>
      </c>
      <c r="F21">
        <v>85000</v>
      </c>
      <c r="G21">
        <v>62000</v>
      </c>
      <c r="H21" t="s">
        <v>20</v>
      </c>
      <c r="I21">
        <f t="shared" si="0"/>
        <v>85000</v>
      </c>
      <c r="J21">
        <f t="shared" si="1"/>
        <v>62000</v>
      </c>
      <c r="K21">
        <f t="shared" si="2"/>
        <v>23000</v>
      </c>
    </row>
  </sheetData>
  <conditionalFormatting sqref="D12">
    <cfRule type="duplicateValues" dxfId="1" priority="2"/>
  </conditionalFormatting>
  <conditionalFormatting sqref="C7">
    <cfRule type="duplicateValues" dxfId="0" priority="1"/>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Sheet2</vt:lpstr>
      <vt:lpstr>Sheet3</vt:lpstr>
      <vt:lpstr>Sheet4</vt:lpstr>
      <vt:lpstr>Dashboard</vt:lpstr>
      <vt:lpstr>Sheet1</vt:lpstr>
      <vt:lpstr>Retail_Sales_Portifolio</vt:lpstr>
      <vt:lpstr>Sales_Data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Erastus Simiti</dc:creator>
  <cp:lastModifiedBy>Erastus Simiti</cp:lastModifiedBy>
  <cp:lastPrinted>2026-10-13T08:45:32Z</cp:lastPrinted>
  <dcterms:created xsi:type="dcterms:W3CDTF">2026-10-12T09:10:58Z</dcterms:created>
  <dcterms:modified xsi:type="dcterms:W3CDTF">2026-10-13T08:48:12Z</dcterms:modified>
</cp:coreProperties>
</file>